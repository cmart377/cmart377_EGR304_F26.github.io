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chris\Downloads\"/>
    </mc:Choice>
  </mc:AlternateContent>
  <xr:revisionPtr revIDLastSave="0" documentId="8_{F28C935F-CA66-4667-86B1-C9D968B4AADF}" xr6:coauthVersionLast="47" xr6:coauthVersionMax="47" xr10:uidLastSave="{00000000-0000-0000-0000-000000000000}"/>
  <bookViews>
    <workbookView xWindow="-120" yWindow="-120" windowWidth="26640" windowHeight="15090" xr2:uid="{00000000-000D-0000-FFFF-FFFF00000000}"/>
  </bookViews>
  <sheets>
    <sheet name="Power Budget" sheetId="1" r:id="rId1"/>
    <sheet name="Resources" sheetId="2" r:id="rId2"/>
  </sheets>
  <definedNames>
    <definedName name="_xlnm._FilterDatabase" localSheetId="0" hidden="1">'Power Budget'!$A$4:$F$13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1" l="1"/>
</calcChain>
</file>

<file path=xl/sharedStrings.xml><?xml version="1.0" encoding="utf-8"?>
<sst xmlns="http://schemas.openxmlformats.org/spreadsheetml/2006/main" count="93" uniqueCount="83">
  <si>
    <t>9 V DC input feeding an L7805 regulator and nominal 5 V power rail</t>
  </si>
  <si>
    <t>Power source / load</t>
  </si>
  <si>
    <t>Part / description</t>
  </si>
  <si>
    <t>Supply / output voltage</t>
  </si>
  <si>
    <t>Current budget (mA)</t>
  </si>
  <si>
    <t>Power / calculation</t>
  </si>
  <si>
    <t>Status / notes</t>
  </si>
  <si>
    <t>External power source</t>
  </si>
  <si>
    <t>Pololu 1470 regulated adapter</t>
  </si>
  <si>
    <t>9 V DC</t>
  </si>
  <si>
    <t>9 V × 1 A = 9 W maximum</t>
  </si>
  <si>
    <t>Rated maximum output: 9 W</t>
  </si>
  <si>
    <t>Input protection</t>
  </si>
  <si>
    <t>500 mA fuse</t>
  </si>
  <si>
    <t>9 V input side</t>
  </si>
  <si>
    <t>Fuse rating: 500 mA</t>
  </si>
  <si>
    <t>Planned input fuse; BOM does not state DC voltage/interrupt rating</t>
  </si>
  <si>
    <t>5 V regulator</t>
  </si>
  <si>
    <t>ST L7805ABV-DG / L7805</t>
  </si>
  <si>
    <t>9 V in → 5 V out</t>
  </si>
  <si>
    <t>(9 V − 5 V) × 0.2 A = 0.8 W heat</t>
  </si>
  <si>
    <t>200 mA is a design target, not a measured load</t>
  </si>
  <si>
    <t>Curiosity Nano board</t>
  </si>
  <si>
    <t>PIC18F57Q43 + onboard debugger circuitry</t>
  </si>
  <si>
    <t>5 V rail</t>
  </si>
  <si>
    <t>5 V × 0.1 A = 0.5 W at allocation</t>
  </si>
  <si>
    <t>100 mA is a provisional planning allocation; actual board current not supplied</t>
  </si>
  <si>
    <t>MCP6004</t>
  </si>
  <si>
    <t>Quad op amp</t>
  </si>
  <si>
    <t>1 mA planning allowance</t>
  </si>
  <si>
    <t>Planning allowance, not measured current</t>
  </si>
  <si>
    <t>Thermistor divider</t>
  </si>
  <si>
    <t>10 kΩ NTC + 10 kΩ resistor</t>
  </si>
  <si>
    <t>5 V ÷ (10 kΩ + 10 kΩ) = 0.25 mA</t>
  </si>
  <si>
    <t>Calculated nominal divider current</t>
  </si>
  <si>
    <t>Red LED</t>
  </si>
  <si>
    <t>Red LED + 1 kΩ series resistor</t>
  </si>
  <si>
    <t>Approx. (5 V − 2 V) ÷ 1 kΩ = 3 mA</t>
  </si>
  <si>
    <t>Estimate assumes about 2 V LED forward voltage</t>
  </si>
  <si>
    <t>Blue LED</t>
  </si>
  <si>
    <t>TBD</t>
  </si>
  <si>
    <t>Not calculable from provided data</t>
  </si>
  <si>
    <t>Supplied schematic/BOM does not show a series current-limiting resistor</t>
  </si>
  <si>
    <t>External peripherals</t>
  </si>
  <si>
    <t>Loads connected to headers</t>
  </si>
  <si>
    <t>No external header loads are specified</t>
  </si>
  <si>
    <t>Partial planning total</t>
  </si>
  <si>
    <t>Includes Nano allocation, MCP6004 allowance, divider, and red LED; excludes blue LED and external loads</t>
  </si>
  <si>
    <t>Adapter maximum power</t>
  </si>
  <si>
    <t>9 V × 1 A = 9 W</t>
  </si>
  <si>
    <t>Adapter rating is maximum capacity, not PCB consumption</t>
  </si>
  <si>
    <t>Regulator heat at 100 mA</t>
  </si>
  <si>
    <t>(9 V − 5 V) × 0.1 A = 0.4 W</t>
  </si>
  <si>
    <t>Linear regulator heat estimate</t>
  </si>
  <si>
    <t>Regulator heat at 200 mA</t>
  </si>
  <si>
    <t>(9 V − 5 V) × 0.2 A = 0.8 W</t>
  </si>
  <si>
    <t>Resources and Assumptions</t>
  </si>
  <si>
    <t>Item</t>
  </si>
  <si>
    <t>Information</t>
  </si>
  <si>
    <t>Adapter</t>
  </si>
  <si>
    <t>Pololu 1470, regulated 9 V DC, 1 A, 9 W maximum; 5.5 × 2.1 mm center-positive plug.</t>
  </si>
  <si>
    <t>Microcontroller</t>
  </si>
  <si>
    <t>PIC18F57Q43 on the Curiosity Nano board. Board current includes onboard circuitry.</t>
  </si>
  <si>
    <t>Regulator</t>
  </si>
  <si>
    <t>ST L7805ABV-DG / L7805; nominal 5 V linear regulator.</t>
  </si>
  <si>
    <t>Thermistor</t>
  </si>
  <si>
    <t>Cantherm MF52A2103J3470, 10 kΩ NTC, B ≈ 3470 K per supplied BOM.</t>
  </si>
  <si>
    <t>Quad op amp supplied from the 5 V rail; 1 mA is only a planning allowance in this budget.</t>
  </si>
  <si>
    <t>Current budget</t>
  </si>
  <si>
    <t>Nano current is provisionally allocated as 100 mA. Actual total board current was not supplied.</t>
  </si>
  <si>
    <t>LEDs</t>
  </si>
  <si>
    <t>Red LED current is estimated using a 1 kΩ resistor and about 2 V forward drop. Blue LED series resistor/current are unspecified.</t>
  </si>
  <si>
    <t>Fuse</t>
  </si>
  <si>
    <t>500 mA planned input fuse. Provided BOM does not state its DC voltage and interrupt ratings.</t>
  </si>
  <si>
    <t>Adapter datasheet</t>
  </si>
  <si>
    <t>https://www.pololu.com/product/1470</t>
  </si>
  <si>
    <t>PIC18F57Q43 datasheet</t>
  </si>
  <si>
    <t>https://ww1.microchip.com/downloads/aemDocuments/documents/MCU08/ProductDocuments/DataSheets/PIC18F27-47-57Q43-Microcontroller-Data-Sheet-XLP-DS40002147.pdf</t>
  </si>
  <si>
    <t>L7805 datasheet</t>
  </si>
  <si>
    <t>https://www.st.com/resource/en/datasheet/l7805.pdf</t>
  </si>
  <si>
    <t>MCP6004 datasheet</t>
  </si>
  <si>
    <t>https://ww1.microchip.com/downloads/en/DeviceDoc/MCP6001-1R-1U-2-4-1-MHz-Low-Power-Op-Amp-DS20001733L.pdf</t>
  </si>
  <si>
    <t>PCB Power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</si>
</sst>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6"/>
      <color rgb="FFFFFFFF"/>
      <name val="Calibri"/>
      <family val="2"/>
    </font>
    <font>
      <i/>
      <sz val="12"/>
      <color rgb="FF555555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4472C4"/>
      </patternFill>
    </fill>
    <fill>
      <patternFill patternType="solid">
        <fgColor rgb="FFF3F6FA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B7C4D3"/>
      </left>
      <right style="thin">
        <color rgb="FFB7C4D3"/>
      </right>
      <top style="thin">
        <color rgb="FFB7C4D3"/>
      </top>
      <bottom style="thin">
        <color rgb="FFB7C4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5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showGridLines="0" tabSelected="1" zoomScale="75" workbookViewId="0">
      <pane ySplit="4" topLeftCell="A5" activePane="bottomLeft" state="frozen"/>
      <selection pane="bottomLeft" activeCell="L13" sqref="L13"/>
    </sheetView>
  </sheetViews>
  <sheetFormatPr defaultRowHeight="15" x14ac:dyDescent="0.25"/>
  <cols>
    <col min="1" max="1" width="25" customWidth="1"/>
    <col min="2" max="2" width="36" customWidth="1"/>
    <col min="3" max="4" width="22" customWidth="1"/>
    <col min="5" max="5" width="38" customWidth="1"/>
    <col min="6" max="6" width="58" customWidth="1"/>
  </cols>
  <sheetData>
    <row r="1" spans="1:6" ht="27.95" customHeight="1" x14ac:dyDescent="0.25">
      <c r="A1" s="8" t="s">
        <v>82</v>
      </c>
      <c r="B1" s="7"/>
      <c r="C1" s="7"/>
      <c r="D1" s="7"/>
      <c r="E1" s="7"/>
      <c r="F1" s="7"/>
    </row>
    <row r="2" spans="1:6" ht="21.95" customHeight="1" x14ac:dyDescent="0.25">
      <c r="A2" s="6" t="s">
        <v>0</v>
      </c>
      <c r="B2" s="7"/>
      <c r="C2" s="7"/>
      <c r="D2" s="7"/>
      <c r="E2" s="7"/>
      <c r="F2" s="7"/>
    </row>
    <row r="3" spans="1:6" ht="32.1" customHeight="1" x14ac:dyDescent="0.25">
      <c r="A3" s="1"/>
      <c r="B3" s="1"/>
      <c r="C3" s="1"/>
      <c r="D3" s="1"/>
      <c r="E3" s="1"/>
      <c r="F3" s="1"/>
    </row>
    <row r="4" spans="1:6" ht="42" customHeight="1" x14ac:dyDescent="0.2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</row>
    <row r="5" spans="1:6" ht="32.1" customHeight="1" x14ac:dyDescent="0.25">
      <c r="A5" s="1" t="s">
        <v>7</v>
      </c>
      <c r="B5" s="1" t="s">
        <v>8</v>
      </c>
      <c r="C5" s="1" t="s">
        <v>9</v>
      </c>
      <c r="D5" s="1">
        <v>1000</v>
      </c>
      <c r="E5" s="1" t="s">
        <v>10</v>
      </c>
      <c r="F5" s="1" t="s">
        <v>11</v>
      </c>
    </row>
    <row r="6" spans="1:6" ht="32.1" customHeight="1" x14ac:dyDescent="0.25">
      <c r="A6" s="3" t="s">
        <v>12</v>
      </c>
      <c r="B6" s="3" t="s">
        <v>13</v>
      </c>
      <c r="C6" s="3" t="s">
        <v>14</v>
      </c>
      <c r="D6" s="3">
        <v>500</v>
      </c>
      <c r="E6" s="3" t="s">
        <v>15</v>
      </c>
      <c r="F6" s="3" t="s">
        <v>16</v>
      </c>
    </row>
    <row r="7" spans="1:6" ht="32.1" customHeight="1" x14ac:dyDescent="0.25">
      <c r="A7" s="1" t="s">
        <v>17</v>
      </c>
      <c r="B7" s="1" t="s">
        <v>18</v>
      </c>
      <c r="C7" s="1" t="s">
        <v>19</v>
      </c>
      <c r="D7" s="1">
        <v>200</v>
      </c>
      <c r="E7" s="1" t="s">
        <v>20</v>
      </c>
      <c r="F7" s="1" t="s">
        <v>21</v>
      </c>
    </row>
    <row r="8" spans="1:6" ht="32.1" customHeight="1" x14ac:dyDescent="0.25">
      <c r="A8" s="3" t="s">
        <v>22</v>
      </c>
      <c r="B8" s="3" t="s">
        <v>23</v>
      </c>
      <c r="C8" s="3" t="s">
        <v>24</v>
      </c>
      <c r="D8" s="3">
        <v>100</v>
      </c>
      <c r="E8" s="3" t="s">
        <v>25</v>
      </c>
      <c r="F8" s="3" t="s">
        <v>26</v>
      </c>
    </row>
    <row r="9" spans="1:6" ht="32.1" customHeight="1" x14ac:dyDescent="0.25">
      <c r="A9" s="1" t="s">
        <v>27</v>
      </c>
      <c r="B9" s="1" t="s">
        <v>28</v>
      </c>
      <c r="C9" s="1" t="s">
        <v>24</v>
      </c>
      <c r="D9" s="1">
        <v>1</v>
      </c>
      <c r="E9" s="1" t="s">
        <v>29</v>
      </c>
      <c r="F9" s="1" t="s">
        <v>30</v>
      </c>
    </row>
    <row r="10" spans="1:6" ht="32.1" customHeight="1" x14ac:dyDescent="0.25">
      <c r="A10" s="3" t="s">
        <v>31</v>
      </c>
      <c r="B10" s="3" t="s">
        <v>32</v>
      </c>
      <c r="C10" s="3" t="s">
        <v>24</v>
      </c>
      <c r="D10" s="3">
        <v>0.25</v>
      </c>
      <c r="E10" s="3" t="s">
        <v>33</v>
      </c>
      <c r="F10" s="3" t="s">
        <v>34</v>
      </c>
    </row>
    <row r="11" spans="1:6" ht="32.1" customHeight="1" x14ac:dyDescent="0.25">
      <c r="A11" s="1" t="s">
        <v>35</v>
      </c>
      <c r="B11" s="1" t="s">
        <v>36</v>
      </c>
      <c r="C11" s="1" t="s">
        <v>24</v>
      </c>
      <c r="D11" s="1">
        <v>3</v>
      </c>
      <c r="E11" s="1" t="s">
        <v>37</v>
      </c>
      <c r="F11" s="1" t="s">
        <v>38</v>
      </c>
    </row>
    <row r="12" spans="1:6" ht="32.1" customHeight="1" x14ac:dyDescent="0.25">
      <c r="A12" s="3" t="s">
        <v>39</v>
      </c>
      <c r="B12" s="3" t="s">
        <v>39</v>
      </c>
      <c r="C12" s="3" t="s">
        <v>24</v>
      </c>
      <c r="D12" s="3" t="s">
        <v>40</v>
      </c>
      <c r="E12" s="3" t="s">
        <v>41</v>
      </c>
      <c r="F12" s="3" t="s">
        <v>42</v>
      </c>
    </row>
    <row r="13" spans="1:6" ht="32.1" customHeight="1" x14ac:dyDescent="0.25">
      <c r="A13" s="1" t="s">
        <v>43</v>
      </c>
      <c r="B13" s="1" t="s">
        <v>44</v>
      </c>
      <c r="C13" s="1" t="s">
        <v>24</v>
      </c>
      <c r="D13" s="1" t="s">
        <v>40</v>
      </c>
      <c r="E13" s="1" t="s">
        <v>41</v>
      </c>
      <c r="F13" s="1" t="s">
        <v>45</v>
      </c>
    </row>
    <row r="14" spans="1:6" ht="32.1" customHeight="1" x14ac:dyDescent="0.25">
      <c r="A14" s="1"/>
      <c r="B14" s="1"/>
      <c r="C14" s="1"/>
      <c r="D14" s="1"/>
      <c r="E14" s="1"/>
      <c r="F14" s="1"/>
    </row>
    <row r="15" spans="1:6" ht="32.1" customHeight="1" x14ac:dyDescent="0.25">
      <c r="A15" s="4" t="s">
        <v>46</v>
      </c>
      <c r="B15" s="5"/>
      <c r="C15" s="5"/>
      <c r="D15" s="5">
        <f>SUM(D8:D11)</f>
        <v>104.25</v>
      </c>
      <c r="E15" s="5"/>
      <c r="F15" s="5" t="s">
        <v>47</v>
      </c>
    </row>
    <row r="16" spans="1:6" ht="32.1" customHeight="1" x14ac:dyDescent="0.25">
      <c r="A16" s="4" t="s">
        <v>48</v>
      </c>
      <c r="B16" s="5"/>
      <c r="C16" s="5"/>
      <c r="D16" s="5"/>
      <c r="E16" s="5" t="s">
        <v>49</v>
      </c>
      <c r="F16" s="5" t="s">
        <v>50</v>
      </c>
    </row>
    <row r="17" spans="1:6" ht="32.1" customHeight="1" x14ac:dyDescent="0.25">
      <c r="A17" s="4" t="s">
        <v>51</v>
      </c>
      <c r="B17" s="5"/>
      <c r="C17" s="5"/>
      <c r="D17" s="5"/>
      <c r="E17" s="5" t="s">
        <v>52</v>
      </c>
      <c r="F17" s="5" t="s">
        <v>53</v>
      </c>
    </row>
    <row r="18" spans="1:6" ht="32.1" customHeight="1" x14ac:dyDescent="0.25">
      <c r="A18" s="4" t="s">
        <v>54</v>
      </c>
      <c r="B18" s="5"/>
      <c r="C18" s="5"/>
      <c r="D18" s="5"/>
      <c r="E18" s="5" t="s">
        <v>55</v>
      </c>
      <c r="F18" s="5" t="s">
        <v>53</v>
      </c>
    </row>
    <row r="19" spans="1:6" ht="32.1" customHeight="1" x14ac:dyDescent="0.25"/>
    <row r="20" spans="1:6" ht="32.1" customHeight="1" x14ac:dyDescent="0.25"/>
    <row r="21" spans="1:6" ht="32.1" customHeight="1" x14ac:dyDescent="0.25"/>
    <row r="22" spans="1:6" ht="32.1" customHeight="1" x14ac:dyDescent="0.25"/>
    <row r="23" spans="1:6" ht="32.1" customHeight="1" x14ac:dyDescent="0.25"/>
    <row r="24" spans="1:6" ht="32.1" customHeight="1" x14ac:dyDescent="0.25"/>
    <row r="25" spans="1:6" ht="32.1" customHeight="1" x14ac:dyDescent="0.25"/>
    <row r="26" spans="1:6" ht="32.1" customHeight="1" x14ac:dyDescent="0.25"/>
  </sheetData>
  <autoFilter ref="A4:F13" xr:uid="{00000000-0009-0000-0000-000000000000}"/>
  <mergeCells count="2">
    <mergeCell ref="A2:F2"/>
    <mergeCell ref="A1:F1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showGridLines="0" workbookViewId="0">
      <pane ySplit="2" topLeftCell="A3" activePane="bottomLeft" state="frozen"/>
      <selection pane="bottomLeft"/>
    </sheetView>
  </sheetViews>
  <sheetFormatPr defaultRowHeight="15" x14ac:dyDescent="0.25"/>
  <cols>
    <col min="1" max="1" width="28" customWidth="1"/>
    <col min="2" max="2" width="110" customWidth="1"/>
  </cols>
  <sheetData>
    <row r="1" spans="1:2" x14ac:dyDescent="0.25">
      <c r="A1" s="9" t="s">
        <v>56</v>
      </c>
      <c r="B1" s="7"/>
    </row>
    <row r="2" spans="1:2" ht="33.950000000000003" customHeight="1" x14ac:dyDescent="0.25">
      <c r="A2" s="2" t="s">
        <v>57</v>
      </c>
      <c r="B2" s="2" t="s">
        <v>58</v>
      </c>
    </row>
    <row r="3" spans="1:2" ht="33.950000000000003" customHeight="1" x14ac:dyDescent="0.25">
      <c r="A3" s="1" t="s">
        <v>59</v>
      </c>
      <c r="B3" s="1" t="s">
        <v>60</v>
      </c>
    </row>
    <row r="4" spans="1:2" ht="33.950000000000003" customHeight="1" x14ac:dyDescent="0.25">
      <c r="A4" s="1" t="s">
        <v>61</v>
      </c>
      <c r="B4" s="1" t="s">
        <v>62</v>
      </c>
    </row>
    <row r="5" spans="1:2" ht="33.950000000000003" customHeight="1" x14ac:dyDescent="0.25">
      <c r="A5" s="1" t="s">
        <v>63</v>
      </c>
      <c r="B5" s="1" t="s">
        <v>64</v>
      </c>
    </row>
    <row r="6" spans="1:2" ht="33.950000000000003" customHeight="1" x14ac:dyDescent="0.25">
      <c r="A6" s="1" t="s">
        <v>65</v>
      </c>
      <c r="B6" s="1" t="s">
        <v>66</v>
      </c>
    </row>
    <row r="7" spans="1:2" ht="33.950000000000003" customHeight="1" x14ac:dyDescent="0.25">
      <c r="A7" s="1" t="s">
        <v>27</v>
      </c>
      <c r="B7" s="1" t="s">
        <v>67</v>
      </c>
    </row>
    <row r="8" spans="1:2" ht="33.950000000000003" customHeight="1" x14ac:dyDescent="0.25">
      <c r="A8" s="1" t="s">
        <v>68</v>
      </c>
      <c r="B8" s="1" t="s">
        <v>69</v>
      </c>
    </row>
    <row r="9" spans="1:2" ht="33.950000000000003" customHeight="1" x14ac:dyDescent="0.25">
      <c r="A9" s="1" t="s">
        <v>70</v>
      </c>
      <c r="B9" s="1" t="s">
        <v>71</v>
      </c>
    </row>
    <row r="10" spans="1:2" ht="33.950000000000003" customHeight="1" x14ac:dyDescent="0.25">
      <c r="A10" s="1" t="s">
        <v>72</v>
      </c>
      <c r="B10" s="1" t="s">
        <v>73</v>
      </c>
    </row>
    <row r="11" spans="1:2" ht="33.950000000000003" customHeight="1" x14ac:dyDescent="0.25">
      <c r="A11" s="1" t="s">
        <v>74</v>
      </c>
      <c r="B11" s="1" t="s">
        <v>75</v>
      </c>
    </row>
    <row r="12" spans="1:2" ht="33.950000000000003" customHeight="1" x14ac:dyDescent="0.25">
      <c r="A12" s="1" t="s">
        <v>76</v>
      </c>
      <c r="B12" s="1" t="s">
        <v>77</v>
      </c>
    </row>
    <row r="13" spans="1:2" ht="33.950000000000003" customHeight="1" x14ac:dyDescent="0.25">
      <c r="A13" s="1" t="s">
        <v>78</v>
      </c>
      <c r="B13" s="1" t="s">
        <v>79</v>
      </c>
    </row>
    <row r="14" spans="1:2" ht="33.950000000000003" customHeight="1" x14ac:dyDescent="0.25">
      <c r="A14" s="1" t="s">
        <v>80</v>
      </c>
      <c r="B14" s="1" t="s">
        <v>81</v>
      </c>
    </row>
  </sheetData>
  <mergeCells count="1">
    <mergeCell ref="A1:B1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Power Budget</vt:lpstr>
      <vt:lpstr>Resources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Martinez</cp:lastModifiedBy>
  <cp:lastPrinted>2026-10-28T19:26:41Z</cp:lastPrinted>
  <dcterms:created xsi:type="dcterms:W3CDTF">2026-10-28T09:22:55Z</dcterms:created>
  <dcterms:modified xsi:type="dcterms:W3CDTF">2026-10-28T19:28:54Z</dcterms:modified>
</cp:coreProperties>
</file>